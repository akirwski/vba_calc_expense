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iratachibana/Desktop/"/>
    </mc:Choice>
  </mc:AlternateContent>
  <xr:revisionPtr revIDLastSave="0" documentId="13_ncr:1_{8D64AEB8-55A1-0448-A026-3C26B33B9AD9}" xr6:coauthVersionLast="46" xr6:coauthVersionMax="46" xr10:uidLastSave="{00000000-0000-0000-0000-000000000000}"/>
  <bookViews>
    <workbookView xWindow="400" yWindow="500" windowWidth="19480" windowHeight="16020" xr2:uid="{91DEC05D-3E5D-8E4F-AB87-608CA2ABA6DD}"/>
  </bookViews>
  <sheets>
    <sheet name="Sheet1" sheetId="1" r:id="rId1"/>
    <sheet name="Sheet3" sheetId="3" r:id="rId2"/>
    <sheet name="Sheet2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J4" i="1"/>
  <c r="D15" i="1"/>
  <c r="D16" i="1"/>
  <c r="D3" i="1"/>
  <c r="D4" i="1"/>
  <c r="D5" i="1"/>
  <c r="D6" i="1"/>
  <c r="D7" i="1"/>
  <c r="D8" i="1"/>
  <c r="D17" i="1"/>
  <c r="D2" i="1"/>
</calcChain>
</file>

<file path=xl/sharedStrings.xml><?xml version="1.0" encoding="utf-8"?>
<sst xmlns="http://schemas.openxmlformats.org/spreadsheetml/2006/main" count="62" uniqueCount="23">
  <si>
    <t>coffee</t>
  </si>
  <si>
    <t>milk</t>
  </si>
  <si>
    <t>apple</t>
  </si>
  <si>
    <t>potato</t>
  </si>
  <si>
    <t>Date</t>
  </si>
  <si>
    <t>Payer</t>
  </si>
  <si>
    <t>Item</t>
  </si>
  <si>
    <t>Price</t>
  </si>
  <si>
    <t>avocado</t>
  </si>
  <si>
    <t>Tax</t>
  </si>
  <si>
    <t>Total</t>
  </si>
  <si>
    <t>User1</t>
  </si>
  <si>
    <t>User2</t>
  </si>
  <si>
    <t>eggs</t>
  </si>
  <si>
    <t>oinon</t>
  </si>
  <si>
    <t>banana</t>
  </si>
  <si>
    <t>butter</t>
  </si>
  <si>
    <t>mirin</t>
  </si>
  <si>
    <t>December</t>
  </si>
  <si>
    <t>shouyu</t>
  </si>
  <si>
    <t>mik</t>
  </si>
  <si>
    <t>Total2</t>
  </si>
  <si>
    <t>January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</si>
</sst>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2" borderId="0" xfId="0" applyFill="1"/>
    <xf numFmtId="16" fontId="0" fillId="0" borderId="0" xfId="0" applyNumberFormat="1"/>
    <xf numFmtId="0" fontId="0" fillId="0" borderId="0" xfId="0" applyFill="1"/>
    <xf numFmtId="0" fontId="0" fillId="0" borderId="1" xfId="0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Sheet1!$I$2</c:f>
              <c:strCache>
                <c:ptCount val="1"/>
                <c:pt idx="0">
                  <c:v>User1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Sheet1!$J$1:$K$1</c:f>
              <c:strCache>
                <c:ptCount val="2"/>
                <c:pt idx="0">
                  <c:v>December</c:v>
                </c:pt>
                <c:pt idx="1">
                  <c:v>January</c:v>
                </c:pt>
              </c:strCache>
            </c:strRef>
          </c:cat>
          <c:val>
            <c:numRef>
              <c:f>Sheet1!$J$2:$K$2</c:f>
              <c:numCache>
                <c:formatCode>General</c:formatCode>
                <c:ptCount val="2"/>
                <c:pt idx="0">
                  <c:v>29.810000000000002</c:v>
                </c:pt>
                <c:pt idx="1">
                  <c:v>8.3800000000000008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C2-864C-BB1C-32216B63C313}"/>
            </c:ext>
          </c:extLst>
        </c:ser>
        <c:ser>
          <c:idx val="1"/>
          <c:order val="1"/>
          <c:tx>
            <c:strRef>
              <c:f>Sheet1!$I$3</c:f>
              <c:strCache>
                <c:ptCount val="1"/>
                <c:pt idx="0">
                  <c:v>User2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Sheet1!$J$1:$K$1</c:f>
              <c:strCache>
                <c:ptCount val="2"/>
                <c:pt idx="0">
                  <c:v>December</c:v>
                </c:pt>
                <c:pt idx="1">
                  <c:v>January</c:v>
                </c:pt>
              </c:strCache>
            </c:strRef>
          </c:cat>
          <c:val>
            <c:numRef>
              <c:f>Sheet1!$J$3:$K$3</c:f>
              <c:numCache>
                <c:formatCode>General</c:formatCode>
                <c:ptCount val="2"/>
                <c:pt idx="0">
                  <c:v>12.09</c:v>
                </c:pt>
                <c:pt idx="1">
                  <c:v>11.89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C2-864C-BB1C-32216B63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129504"/>
        <c:axId val="217797520"/>
      </c:barChart>
      <c:catAx>
        <c:axId val="21512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797520"/>
        <c:crosses val="autoZero"/>
        <c:auto val="1"/>
        <c:lblAlgn val="ctr"/>
        <c:lblOffset val="100"/>
        <c:noMultiLvlLbl val="0"/>
      </c:catAx>
      <c:valAx>
        <c:axId val="21779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12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Sheet1!$J$1:$K$1</c:f>
              <c:strCache>
                <c:ptCount val="2"/>
                <c:pt idx="0">
                  <c:v>December</c:v>
                </c:pt>
                <c:pt idx="1">
                  <c:v>January</c:v>
                </c:pt>
              </c:strCache>
            </c:strRef>
          </c:cat>
          <c:val>
            <c:numRef>
              <c:f>Sheet1!$J$4:$K$4</c:f>
              <c:numCache>
                <c:formatCode>General</c:formatCode>
                <c:ptCount val="2"/>
                <c:pt idx="0">
                  <c:v>41.900000000000006</c:v>
                </c:pt>
                <c:pt idx="1">
                  <c:v>20.270000000000003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E4-C74B-8842-B077D0FAD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483840"/>
        <c:axId val="518800224"/>
      </c:lineChart>
      <c:catAx>
        <c:axId val="2154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800224"/>
        <c:crosses val="autoZero"/>
        <c:auto val="1"/>
        <c:lblAlgn val="ctr"/>
        <c:lblOffset val="100"/>
        <c:noMultiLvlLbl val="0"/>
      </c:catAx>
      <c:valAx>
        <c:axId val="5188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8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22</xdr:row>
      <xdr:rowOff>190500</xdr:rowOff>
    </xdr:from>
    <xdr:to>
      <xdr:col>16</xdr:col>
      <xdr:colOff>266700</xdr:colOff>
      <xdr:row>40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9D3C39-CE60-314A-9E57-7FE901070D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8</xdr:row>
      <xdr:rowOff>152400</xdr:rowOff>
    </xdr:from>
    <xdr:to>
      <xdr:col>13</xdr:col>
      <xdr:colOff>482600</xdr:colOff>
      <xdr:row>22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EF0CE7-7B86-224F-A614-B3A2AAD55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CE820-1ABB-8745-BDCD-8AD766A6F6D1}">
  <sheetPr codeName="Sheet1"/>
  <dimension ref="A1:K17"/>
  <sheetViews>
    <sheetView tabSelected="1" zoomScale="75" workbookViewId="0">
      <selection activeCell="B2" sqref="B2"/>
    </sheetView>
  </sheetViews>
  <sheetFormatPr baseColWidth="10" defaultRowHeight="16" x14ac:dyDescent="0.2"/>
  <sheetData>
    <row r="1" spans="1:11" x14ac:dyDescent="0.2">
      <c r="A1" s="2" t="s">
        <v>4</v>
      </c>
      <c r="B1" s="2" t="s">
        <v>5</v>
      </c>
      <c r="C1" s="2" t="s">
        <v>6</v>
      </c>
      <c r="D1" s="2" t="s">
        <v>7</v>
      </c>
      <c r="E1" s="2" t="s">
        <v>9</v>
      </c>
      <c r="F1" s="2" t="s">
        <v>10</v>
      </c>
      <c r="G1" s="2" t="s">
        <v>21</v>
      </c>
      <c r="J1" s="6" t="s">
        <v>18</v>
      </c>
      <c r="K1" s="6" t="s">
        <v>22</v>
      </c>
    </row>
    <row r="2" spans="1:11" x14ac:dyDescent="0.2">
      <c r="A2" s="1">
        <v>44177</v>
      </c>
      <c r="B2" t="s">
        <v>11</v>
      </c>
      <c r="C2" t="s">
        <v>0</v>
      </c>
      <c r="D2">
        <f>VLOOKUP(C2,Sheet2!$A$2:$B$6,2,FALSE)</f>
        <v>2.89</v>
      </c>
      <c r="I2" t="s">
        <v>11</v>
      </c>
      <c r="J2" s="4">
        <v>29.810000000000002</v>
      </c>
      <c r="K2">
        <v>8.3800000000000008</v>
      </c>
    </row>
    <row r="3" spans="1:11" ht="17" thickBot="1" x14ac:dyDescent="0.25">
      <c r="A3" s="1">
        <v>44177</v>
      </c>
      <c r="B3" t="s">
        <v>11</v>
      </c>
      <c r="C3" t="s">
        <v>1</v>
      </c>
      <c r="D3">
        <f>VLOOKUP(C3,Sheet2!$A$2:$B$6,2,FALSE)</f>
        <v>3.99</v>
      </c>
      <c r="I3" s="5" t="s">
        <v>12</v>
      </c>
      <c r="J3" s="5">
        <v>12.09</v>
      </c>
      <c r="K3" s="5">
        <v>11.89</v>
      </c>
    </row>
    <row r="4" spans="1:11" x14ac:dyDescent="0.2">
      <c r="A4" s="1">
        <v>44177</v>
      </c>
      <c r="B4" t="s">
        <v>11</v>
      </c>
      <c r="C4" t="s">
        <v>2</v>
      </c>
      <c r="D4">
        <f>VLOOKUP(C4,Sheet2!$A$2:$B$6,2,FALSE)</f>
        <v>4.4800000000000004</v>
      </c>
      <c r="E4">
        <v>2</v>
      </c>
      <c r="F4">
        <v>10.47</v>
      </c>
      <c r="I4" t="s">
        <v>10</v>
      </c>
      <c r="J4">
        <f>SUM(J2:J3)</f>
        <v>41.900000000000006</v>
      </c>
      <c r="K4">
        <f>SUM(K2:K3)</f>
        <v>20.270000000000003</v>
      </c>
    </row>
    <row r="5" spans="1:11" x14ac:dyDescent="0.2">
      <c r="A5" s="1">
        <v>44180</v>
      </c>
      <c r="B5" t="s">
        <v>11</v>
      </c>
      <c r="C5" t="s">
        <v>3</v>
      </c>
      <c r="D5">
        <f>VLOOKUP(C5,Sheet2!$A$2:$B$6,2,FALSE)</f>
        <v>5</v>
      </c>
    </row>
    <row r="6" spans="1:11" x14ac:dyDescent="0.2">
      <c r="A6" s="1">
        <v>44180</v>
      </c>
      <c r="B6" t="s">
        <v>11</v>
      </c>
      <c r="C6" t="s">
        <v>2</v>
      </c>
      <c r="D6">
        <f>VLOOKUP(C6,Sheet2!$A$2:$B$6,2,FALSE)</f>
        <v>4.4800000000000004</v>
      </c>
    </row>
    <row r="7" spans="1:11" x14ac:dyDescent="0.2">
      <c r="A7" s="1">
        <v>44180</v>
      </c>
      <c r="B7" t="s">
        <v>11</v>
      </c>
      <c r="C7" t="s">
        <v>8</v>
      </c>
      <c r="D7">
        <f>VLOOKUP(C7,Sheet2!$A$2:$B$6,2,FALSE)</f>
        <v>2</v>
      </c>
    </row>
    <row r="8" spans="1:11" x14ac:dyDescent="0.2">
      <c r="A8" s="1">
        <v>44180</v>
      </c>
      <c r="B8" t="s">
        <v>11</v>
      </c>
      <c r="C8" t="s">
        <v>3</v>
      </c>
      <c r="D8">
        <f>VLOOKUP(C8,Sheet2!$A$2:$B$6,2,FALSE)</f>
        <v>5</v>
      </c>
      <c r="E8">
        <v>5.17</v>
      </c>
      <c r="F8">
        <v>12.17</v>
      </c>
    </row>
    <row r="9" spans="1:11" x14ac:dyDescent="0.2">
      <c r="A9" s="1">
        <v>44181</v>
      </c>
      <c r="B9" t="s">
        <v>12</v>
      </c>
      <c r="C9" t="s">
        <v>13</v>
      </c>
      <c r="D9">
        <v>3.88</v>
      </c>
    </row>
    <row r="10" spans="1:11" x14ac:dyDescent="0.2">
      <c r="A10" s="1">
        <v>44181</v>
      </c>
      <c r="B10" t="s">
        <v>12</v>
      </c>
      <c r="C10" t="s">
        <v>14</v>
      </c>
      <c r="D10">
        <v>3.9</v>
      </c>
      <c r="F10" s="1"/>
    </row>
    <row r="11" spans="1:11" x14ac:dyDescent="0.2">
      <c r="A11" s="1">
        <v>44181</v>
      </c>
      <c r="B11" t="s">
        <v>12</v>
      </c>
      <c r="C11" t="s">
        <v>15</v>
      </c>
      <c r="D11">
        <v>3.99</v>
      </c>
    </row>
    <row r="12" spans="1:11" x14ac:dyDescent="0.2">
      <c r="A12" s="1">
        <v>44181</v>
      </c>
      <c r="B12" t="s">
        <v>12</v>
      </c>
      <c r="C12" t="s">
        <v>16</v>
      </c>
      <c r="D12">
        <v>4</v>
      </c>
    </row>
    <row r="13" spans="1:11" x14ac:dyDescent="0.2">
      <c r="A13" s="1">
        <v>44181</v>
      </c>
      <c r="B13" t="s">
        <v>12</v>
      </c>
      <c r="C13" t="s">
        <v>17</v>
      </c>
      <c r="D13">
        <v>1.89</v>
      </c>
      <c r="E13">
        <v>3.1</v>
      </c>
      <c r="F13">
        <v>8.99</v>
      </c>
    </row>
    <row r="14" spans="1:11" x14ac:dyDescent="0.2">
      <c r="A14" s="3">
        <v>44198</v>
      </c>
      <c r="B14" t="s">
        <v>11</v>
      </c>
      <c r="C14" t="s">
        <v>19</v>
      </c>
      <c r="D14">
        <v>1.89</v>
      </c>
    </row>
    <row r="15" spans="1:11" x14ac:dyDescent="0.2">
      <c r="A15" s="3">
        <v>44198</v>
      </c>
      <c r="B15" t="s">
        <v>11</v>
      </c>
      <c r="C15" t="s">
        <v>2</v>
      </c>
      <c r="D15">
        <f>VLOOKUP(C2,Sheet2!$A$2:$B$6,2,FALSE)</f>
        <v>2.89</v>
      </c>
      <c r="E15">
        <v>1.8</v>
      </c>
      <c r="F15">
        <v>6.58</v>
      </c>
    </row>
    <row r="16" spans="1:11" x14ac:dyDescent="0.2">
      <c r="A16" s="3">
        <v>44199</v>
      </c>
      <c r="B16" t="s">
        <v>12</v>
      </c>
      <c r="C16" t="s">
        <v>20</v>
      </c>
      <c r="D16">
        <f>VLOOKUP(C2,Sheet2!$A$2:$B$6,2,FALSE)</f>
        <v>2.89</v>
      </c>
    </row>
    <row r="17" spans="1:6" x14ac:dyDescent="0.2">
      <c r="A17" s="3">
        <v>44199</v>
      </c>
      <c r="B17" t="s">
        <v>12</v>
      </c>
      <c r="C17" t="s">
        <v>3</v>
      </c>
      <c r="D17">
        <f>VLOOKUP(C17,Sheet2!$A$2:$B$6,2,FALSE)</f>
        <v>5</v>
      </c>
      <c r="E17">
        <v>2</v>
      </c>
      <c r="F17">
        <v>9.89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62302-736B-5B4D-BFF4-78A889910864}">
  <sheetPr codeName="Sheet3"/>
  <dimension ref="A1:G5"/>
  <sheetViews>
    <sheetView workbookViewId="0">
      <selection activeCell="D5" sqref="D5"/>
    </sheetView>
  </sheetViews>
  <sheetFormatPr baseColWidth="10" defaultRowHeight="16" x14ac:dyDescent="0.2"/>
  <sheetData>
    <row r="1" spans="1:7" x14ac:dyDescent="0.2">
      <c r="A1" s="2" t="s">
        <v>4</v>
      </c>
      <c r="B1" s="2" t="s">
        <v>5</v>
      </c>
      <c r="C1" s="2" t="s">
        <v>10</v>
      </c>
      <c r="D1" s="2" t="s">
        <v>9</v>
      </c>
      <c r="E1" s="4"/>
      <c r="F1" s="4"/>
      <c r="G1" s="4"/>
    </row>
    <row r="2" spans="1:7" x14ac:dyDescent="0.2">
      <c r="C2">
        <v>10.47</v>
      </c>
      <c r="D2">
        <v>2</v>
      </c>
    </row>
    <row r="3" spans="1:7" x14ac:dyDescent="0.2">
      <c r="C3">
        <v>12.17</v>
      </c>
      <c r="D3">
        <v>5.17</v>
      </c>
    </row>
    <row r="4" spans="1:7" x14ac:dyDescent="0.2">
      <c r="C4">
        <v>8.99</v>
      </c>
      <c r="D4">
        <v>3.1</v>
      </c>
    </row>
    <row r="5" spans="1:7" x14ac:dyDescent="0.2">
      <c r="C5">
        <v>6.58</v>
      </c>
      <c r="D5">
        <v>1.8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58E4F-9262-6048-9842-202C01AE34F5}">
  <sheetPr codeName="Sheet2"/>
  <dimension ref="A1:B13"/>
  <sheetViews>
    <sheetView workbookViewId="0">
      <selection activeCell="B6" sqref="B6"/>
    </sheetView>
  </sheetViews>
  <sheetFormatPr baseColWidth="10" defaultRowHeight="16" x14ac:dyDescent="0.2"/>
  <sheetData>
    <row r="1" spans="1:2" x14ac:dyDescent="0.2">
      <c r="A1" t="s">
        <v>6</v>
      </c>
      <c r="B1" t="s">
        <v>7</v>
      </c>
    </row>
    <row r="2" spans="1:2" x14ac:dyDescent="0.2">
      <c r="A2" t="s">
        <v>0</v>
      </c>
      <c r="B2">
        <v>2.89</v>
      </c>
    </row>
    <row r="3" spans="1:2" x14ac:dyDescent="0.2">
      <c r="A3" t="s">
        <v>1</v>
      </c>
      <c r="B3">
        <v>3.99</v>
      </c>
    </row>
    <row r="4" spans="1:2" x14ac:dyDescent="0.2">
      <c r="A4" t="s">
        <v>2</v>
      </c>
      <c r="B4">
        <v>4.4800000000000004</v>
      </c>
    </row>
    <row r="5" spans="1:2" x14ac:dyDescent="0.2">
      <c r="A5" t="s">
        <v>3</v>
      </c>
      <c r="B5">
        <v>5</v>
      </c>
    </row>
    <row r="6" spans="1:2" x14ac:dyDescent="0.2">
      <c r="A6" t="s">
        <v>8</v>
      </c>
      <c r="B6">
        <v>2</v>
      </c>
    </row>
    <row r="7" spans="1:2" x14ac:dyDescent="0.2">
      <c r="A7" t="s">
        <v>13</v>
      </c>
      <c r="B7">
        <v>3.88</v>
      </c>
    </row>
    <row r="8" spans="1:2" x14ac:dyDescent="0.2">
      <c r="A8" t="s">
        <v>14</v>
      </c>
      <c r="B8">
        <v>3.9</v>
      </c>
    </row>
    <row r="9" spans="1:2" x14ac:dyDescent="0.2">
      <c r="A9" t="s">
        <v>15</v>
      </c>
      <c r="B9">
        <v>3.99</v>
      </c>
    </row>
    <row r="10" spans="1:2" x14ac:dyDescent="0.2">
      <c r="A10" t="s">
        <v>16</v>
      </c>
      <c r="B10">
        <v>4</v>
      </c>
    </row>
    <row r="11" spans="1:2" x14ac:dyDescent="0.2">
      <c r="A11" t="s">
        <v>17</v>
      </c>
      <c r="B11">
        <v>1.89</v>
      </c>
    </row>
    <row r="12" spans="1:2" x14ac:dyDescent="0.2">
      <c r="A12" t="s">
        <v>19</v>
      </c>
      <c r="B12">
        <v>1.89</v>
      </c>
    </row>
    <row r="13" spans="1:2" x14ac:dyDescent="0.2">
      <c r="A13" t="s">
        <v>20</v>
      </c>
      <c r="B13">
        <v>2.89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2021-01-05T20:29:57Z</dcterms:created>
  <dcterms:modified xsi:type="dcterms:W3CDTF">2021-01-06T02:52:39Z</dcterms:modified>
</cp:coreProperties>
</file>